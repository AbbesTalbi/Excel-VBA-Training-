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hil\Desktop\"/>
    </mc:Choice>
  </mc:AlternateContent>
  <bookViews>
    <workbookView xWindow="0" yWindow="0" windowWidth="14000" windowHeight="7050" activeTab="1"/>
  </bookViews>
  <sheets>
    <sheet name="Énoncées" sheetId="8" r:id="rId1"/>
    <sheet name="fiche d'inter" sheetId="1" r:id="rId2"/>
    <sheet name="création tech" sheetId="7" r:id="rId3"/>
    <sheet name="technicien" sheetId="2" r:id="rId4"/>
    <sheet name="site" sheetId="3" r:id="rId5"/>
    <sheet name="historique inter" sheetId="4" r:id="rId6"/>
    <sheet name="Niveaux" sheetId="9" r:id="rId7"/>
  </sheets>
  <definedNames>
    <definedName name="_xlnm.Print_Area" localSheetId="1">'fiche d''inter'!$A$1:$I$30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" l="1"/>
  <c r="G5" i="1"/>
  <c r="A2" i="2"/>
  <c r="A3" i="2"/>
  <c r="F21" i="1"/>
  <c r="G21" i="1" s="1"/>
  <c r="A4" i="2"/>
  <c r="A5" i="2"/>
  <c r="G8" i="1"/>
  <c r="C13" i="1"/>
  <c r="C12" i="1"/>
  <c r="C10" i="1"/>
  <c r="C8" i="1"/>
</calcChain>
</file>

<file path=xl/sharedStrings.xml><?xml version="1.0" encoding="utf-8"?>
<sst xmlns="http://schemas.openxmlformats.org/spreadsheetml/2006/main" count="121" uniqueCount="89">
  <si>
    <t>fiche d'intervention</t>
  </si>
  <si>
    <t>lieu</t>
  </si>
  <si>
    <t>numéro d'intervention</t>
  </si>
  <si>
    <t>site</t>
  </si>
  <si>
    <t>date édition</t>
  </si>
  <si>
    <t>nom contact</t>
  </si>
  <si>
    <t>tel contact</t>
  </si>
  <si>
    <t>technicien</t>
  </si>
  <si>
    <t xml:space="preserve">adresse </t>
  </si>
  <si>
    <t>nom prénom</t>
  </si>
  <si>
    <t>tel</t>
  </si>
  <si>
    <t>intervention</t>
  </si>
  <si>
    <t>date inter</t>
  </si>
  <si>
    <t>niveaux</t>
  </si>
  <si>
    <t>heure arrivée</t>
  </si>
  <si>
    <t>heure départ</t>
  </si>
  <si>
    <t>heures comptées</t>
  </si>
  <si>
    <t>coût inter</t>
  </si>
  <si>
    <t>commentaire du tech</t>
  </si>
  <si>
    <t>nom</t>
  </si>
  <si>
    <t>prénom</t>
  </si>
  <si>
    <t>portable</t>
  </si>
  <si>
    <t>coût de revient/h</t>
  </si>
  <si>
    <t>Site</t>
  </si>
  <si>
    <t>nom du contact</t>
  </si>
  <si>
    <t>tel du contact</t>
  </si>
  <si>
    <t>adresse</t>
  </si>
  <si>
    <t>cp</t>
  </si>
  <si>
    <t>ville</t>
  </si>
  <si>
    <t>numéro inter</t>
  </si>
  <si>
    <t>Brive</t>
  </si>
  <si>
    <t>M Croizet</t>
  </si>
  <si>
    <t>14 avenue de Paris</t>
  </si>
  <si>
    <t>Saintes</t>
  </si>
  <si>
    <t>Mme Laëtitia</t>
  </si>
  <si>
    <t>5 impasse Proust</t>
  </si>
  <si>
    <t>création d'un profil de technicien</t>
  </si>
  <si>
    <t>coût</t>
  </si>
  <si>
    <t>listes des besoins :</t>
  </si>
  <si>
    <t>le site, son contact, son tel et son adresse</t>
  </si>
  <si>
    <t>le nom du technicien et son tel</t>
  </si>
  <si>
    <t>la date du jour s'affichera automatiquement</t>
  </si>
  <si>
    <t>le num de l'intervention s'affichera automatiquement</t>
  </si>
  <si>
    <t>le choix du niveau de l'intervention : rouge, orange ou vert avec une couleur automatique</t>
  </si>
  <si>
    <t>les heures facturées sachant que :</t>
  </si>
  <si>
    <t>toute heure débutée est facturée</t>
  </si>
  <si>
    <t>un min de 2 heures est toujours facturé</t>
  </si>
  <si>
    <t>le coût de l'intervention sera calculé à partir du coût horaire du technicien</t>
  </si>
  <si>
    <t>son nom et prénom</t>
  </si>
  <si>
    <t>son portable</t>
  </si>
  <si>
    <t>son coût horaire</t>
  </si>
  <si>
    <r>
      <rPr>
        <b/>
        <sz val="11"/>
        <color rgb="FFFF0000"/>
        <rFont val="Calibri"/>
        <family val="2"/>
        <scheme val="minor"/>
      </rPr>
      <t xml:space="preserve">Feuille "création tech" </t>
    </r>
    <r>
      <rPr>
        <sz val="11"/>
        <color theme="1"/>
        <rFont val="Calibri"/>
        <family val="2"/>
        <scheme val="minor"/>
      </rPr>
      <t xml:space="preserve">saisir facilement un nouvel technicien avec </t>
    </r>
  </si>
  <si>
    <t>On pourra naviguer rapidement entre ces  2 feuilles</t>
  </si>
  <si>
    <r>
      <rPr>
        <b/>
        <sz val="11"/>
        <color rgb="FFFF0000"/>
        <rFont val="Calibri"/>
        <family val="2"/>
        <scheme val="minor"/>
      </rPr>
      <t>Feuille "fiche d'inter"</t>
    </r>
    <r>
      <rPr>
        <sz val="11"/>
        <color theme="1"/>
        <rFont val="Calibri"/>
        <family val="2"/>
        <scheme val="minor"/>
      </rPr>
      <t xml:space="preserve"> pour imprimer très rapidement la fiche d'intervention avec :</t>
    </r>
  </si>
  <si>
    <t>Ce fichier sera utilisé par des personnes ne connaissant quasiment rien à Excel et qui ont déjà eu des problèmes de saisie dans des tableaux.</t>
  </si>
  <si>
    <t>formules (si, rechercheV, concatener …)</t>
  </si>
  <si>
    <t>liste déroulante</t>
  </si>
  <si>
    <t>mise en forme conditionnelle</t>
  </si>
  <si>
    <t>mode tableau</t>
  </si>
  <si>
    <t>formats de cellule</t>
  </si>
  <si>
    <t>l'enregistreur de macro</t>
  </si>
  <si>
    <t>une zone pour que le technicien signe</t>
  </si>
  <si>
    <t>une zone pour que son responsable signe</t>
  </si>
  <si>
    <t>protection des cellules</t>
  </si>
  <si>
    <t>protection du classeur</t>
  </si>
  <si>
    <t>Révisions :</t>
  </si>
  <si>
    <t>Corleone</t>
  </si>
  <si>
    <t>Vito</t>
  </si>
  <si>
    <t>Ripley</t>
  </si>
  <si>
    <t>Ellen</t>
  </si>
  <si>
    <t>responsable</t>
  </si>
  <si>
    <r>
      <rPr>
        <b/>
        <sz val="11"/>
        <color rgb="FFFF0000"/>
        <rFont val="Calibri"/>
        <family val="2"/>
        <scheme val="minor"/>
      </rPr>
      <t xml:space="preserve">Feuille "recherche d'inter" </t>
    </r>
    <r>
      <rPr>
        <sz val="11"/>
        <color theme="1"/>
        <rFont val="Calibri"/>
        <family val="2"/>
        <scheme val="minor"/>
      </rPr>
      <t>pour trouver les informations d'une fiche d'inter à partir de son numéro</t>
    </r>
  </si>
  <si>
    <t>Ripley Ellen</t>
  </si>
  <si>
    <t>Niveaux</t>
  </si>
  <si>
    <t>Rouge</t>
  </si>
  <si>
    <t>Orange</t>
  </si>
  <si>
    <t>Vert</t>
  </si>
  <si>
    <t>Corleone Vito</t>
  </si>
  <si>
    <t>Jones</t>
  </si>
  <si>
    <t>Indiana</t>
  </si>
  <si>
    <t>Smith</t>
  </si>
  <si>
    <t>Will</t>
  </si>
  <si>
    <t>Smith Will</t>
  </si>
  <si>
    <t>rouge</t>
  </si>
  <si>
    <t>fusible A22 HS</t>
  </si>
  <si>
    <t>Jones Indiana</t>
  </si>
  <si>
    <t>Ligne A réparée</t>
  </si>
  <si>
    <t>moteur ligne B changé</t>
  </si>
  <si>
    <t>purge radiateur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</si>
</sst>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#&quot; &quot;##&quot; &quot;##&quot; &quot;##&quot; &quot;##"/>
    <numFmt numFmtId="165" formatCode="#,##0.00\ &quot;€&quot;"/>
    <numFmt numFmtId="166" formatCode="00000"/>
    <numFmt numFmtId="167" formatCode="#,##0\ &quot;€&quot;"/>
  </numFmts>
  <fonts count="13" x14ac:knownFonts="1">
    <font>
      <sz val="11"/>
      <color theme="1"/>
      <name val="Calibri"/>
      <family val="2"/>
      <scheme val="minor"/>
    </font>
    <font>
      <b/>
      <sz val="20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sz val="14"/>
      <color theme="1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sz val="12"/>
      <color theme="4" tint="-0.499984740745262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4" tint="0.39994506668294322"/>
      </left>
      <right style="thick">
        <color theme="4" tint="0.39994506668294322"/>
      </right>
      <top style="thick">
        <color theme="4" tint="0.39994506668294322"/>
      </top>
      <bottom style="thick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7" xfId="0" applyFont="1" applyBorder="1"/>
    <xf numFmtId="0" fontId="3" fillId="4" borderId="11" xfId="0" applyFont="1" applyFill="1" applyBorder="1" applyAlignment="1">
      <alignment horizontal="right"/>
    </xf>
    <xf numFmtId="0" fontId="3" fillId="0" borderId="7" xfId="0" applyFont="1" applyBorder="1" applyAlignment="1">
      <alignment horizontal="right" vertical="center"/>
    </xf>
    <xf numFmtId="0" fontId="3" fillId="0" borderId="7" xfId="0" applyFont="1" applyBorder="1" applyAlignment="1">
      <alignment horizontal="right"/>
    </xf>
    <xf numFmtId="0" fontId="3" fillId="0" borderId="8" xfId="0" applyFont="1" applyBorder="1"/>
    <xf numFmtId="164" fontId="3" fillId="0" borderId="13" xfId="0" applyNumberFormat="1" applyFont="1" applyBorder="1" applyAlignment="1">
      <alignment horizontal="center"/>
    </xf>
    <xf numFmtId="0" fontId="3" fillId="0" borderId="9" xfId="0" applyFont="1" applyBorder="1"/>
    <xf numFmtId="0" fontId="3" fillId="0" borderId="10" xfId="0" applyFont="1" applyBorder="1"/>
    <xf numFmtId="0" fontId="3" fillId="0" borderId="0" xfId="0" applyFont="1" applyBorder="1"/>
    <xf numFmtId="0" fontId="3" fillId="0" borderId="0" xfId="0" applyFont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Font="1" applyBorder="1" applyAlignment="1">
      <alignment horizontal="center" vertical="center"/>
    </xf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7" fillId="3" borderId="21" xfId="0" applyFont="1" applyFill="1" applyBorder="1" applyAlignment="1">
      <alignment horizontal="right" vertical="center"/>
    </xf>
    <xf numFmtId="164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4"/>
    </xf>
    <xf numFmtId="0" fontId="0" fillId="0" borderId="0" xfId="0" applyAlignment="1">
      <alignment wrapText="1"/>
    </xf>
    <xf numFmtId="0" fontId="10" fillId="7" borderId="22" xfId="0" applyFont="1" applyFill="1" applyBorder="1" applyAlignment="1">
      <alignment horizontal="left" indent="1"/>
    </xf>
    <xf numFmtId="0" fontId="10" fillId="7" borderId="23" xfId="0" applyFont="1" applyFill="1" applyBorder="1" applyAlignment="1">
      <alignment horizontal="left" indent="1"/>
    </xf>
    <xf numFmtId="0" fontId="10" fillId="7" borderId="16" xfId="0" applyFont="1" applyFill="1" applyBorder="1" applyAlignment="1">
      <alignment horizontal="left" indent="1"/>
    </xf>
    <xf numFmtId="0" fontId="11" fillId="6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/>
    </xf>
    <xf numFmtId="0" fontId="0" fillId="0" borderId="0" xfId="0" applyNumberFormat="1"/>
    <xf numFmtId="14" fontId="0" fillId="0" borderId="0" xfId="0" applyNumberFormat="1"/>
    <xf numFmtId="20" fontId="0" fillId="0" borderId="0" xfId="0" applyNumberFormat="1"/>
    <xf numFmtId="165" fontId="0" fillId="0" borderId="0" xfId="0" applyNumberFormat="1" applyFont="1" applyBorder="1" applyAlignment="1">
      <alignment horizontal="center" vertical="center" wrapText="1"/>
    </xf>
    <xf numFmtId="0" fontId="0" fillId="0" borderId="0" xfId="0" applyFont="1" applyBorder="1"/>
    <xf numFmtId="14" fontId="0" fillId="0" borderId="0" xfId="0" applyNumberFormat="1" applyFont="1" applyBorder="1" applyAlignment="1">
      <alignment horizontal="center" vertical="center"/>
    </xf>
    <xf numFmtId="20" fontId="0" fillId="0" borderId="0" xfId="0" applyNumberFormat="1" applyFont="1" applyBorder="1" applyAlignment="1">
      <alignment horizontal="center" vertical="center" wrapText="1"/>
    </xf>
    <xf numFmtId="0" fontId="5" fillId="0" borderId="13" xfId="0" applyFont="1" applyFill="1" applyBorder="1" applyAlignment="1" applyProtection="1">
      <alignment horizontal="center"/>
      <protection locked="0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20" fontId="3" fillId="0" borderId="19" xfId="0" applyNumberFormat="1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/>
    <xf numFmtId="0" fontId="3" fillId="0" borderId="8" xfId="0" applyFont="1" applyBorder="1" applyAlignment="1">
      <alignment horizontal="left" indent="1"/>
    </xf>
    <xf numFmtId="0" fontId="3" fillId="0" borderId="14" xfId="0" applyFont="1" applyBorder="1"/>
    <xf numFmtId="0" fontId="3" fillId="0" borderId="10" xfId="0" applyFont="1" applyBorder="1"/>
    <xf numFmtId="0" fontId="12" fillId="0" borderId="0" xfId="0" applyFont="1" applyAlignment="1">
      <alignment horizontal="center"/>
    </xf>
    <xf numFmtId="0" fontId="5" fillId="0" borderId="12" xfId="0" applyFont="1" applyFill="1" applyBorder="1" applyAlignment="1" applyProtection="1">
      <alignment horizontal="center"/>
      <protection locked="0"/>
    </xf>
    <xf numFmtId="0" fontId="5" fillId="0" borderId="13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9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64" fontId="3" fillId="0" borderId="12" xfId="0" applyNumberFormat="1" applyFont="1" applyBorder="1" applyAlignment="1">
      <alignment horizontal="center"/>
    </xf>
    <xf numFmtId="164" fontId="3" fillId="0" borderId="13" xfId="0" applyNumberFormat="1" applyFont="1" applyBorder="1" applyAlignment="1">
      <alignment horizontal="center"/>
    </xf>
    <xf numFmtId="0" fontId="8" fillId="5" borderId="0" xfId="0" applyFont="1" applyFill="1" applyAlignment="1">
      <alignment horizontal="center"/>
    </xf>
  </cellXfs>
  <cellStyles count="1">
    <cellStyle name="Normal" xfId="0" builtinId="0"/>
  </cellStyles>
  <dxfs count="16">
    <dxf>
      <numFmt numFmtId="165" formatCode="#,##0.00\ &quot;€&quot;"/>
    </dxf>
    <dxf>
      <numFmt numFmtId="25" formatCode="hh:mm"/>
    </dxf>
    <dxf>
      <numFmt numFmtId="25" formatCode="hh:mm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6" formatCode="00000"/>
    </dxf>
    <dxf>
      <numFmt numFmtId="164" formatCode="0#&quot; &quot;##&quot; &quot;##&quot; &quot;##&quot; &quot;##"/>
    </dxf>
    <dxf>
      <alignment horizontal="center" vertical="bottom" textRotation="0" wrapText="0" indent="0" justifyLastLine="0" shrinkToFit="0" readingOrder="0"/>
    </dxf>
    <dxf>
      <numFmt numFmtId="165" formatCode="#,##0.00\ &quot;€&quot;"/>
    </dxf>
    <dxf>
      <numFmt numFmtId="164" formatCode="0#&quot; &quot;##&quot; &quot;##&quot; &quot;##&quot; &quot;##"/>
    </dxf>
    <dxf>
      <numFmt numFmtId="0" formatCode="General"/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23</xdr:row>
      <xdr:rowOff>36287</xdr:rowOff>
    </xdr:from>
    <xdr:to>
      <xdr:col>4</xdr:col>
      <xdr:colOff>18144</xdr:colOff>
      <xdr:row>29</xdr:row>
      <xdr:rowOff>0</xdr:rowOff>
    </xdr:to>
    <xdr:sp macro="" textlink="">
      <xdr:nvSpPr>
        <xdr:cNvPr id="4" name="Parenthèses 3"/>
        <xdr:cNvSpPr/>
      </xdr:nvSpPr>
      <xdr:spPr>
        <a:xfrm>
          <a:off x="517072" y="5479144"/>
          <a:ext cx="3320143" cy="1778000"/>
        </a:xfrm>
        <a:prstGeom prst="bracketPair">
          <a:avLst/>
        </a:prstGeom>
        <a:ln w="38100">
          <a:solidFill>
            <a:schemeClr val="accent1">
              <a:lumMod val="60000"/>
              <a:lumOff val="4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843644</xdr:colOff>
      <xdr:row>23</xdr:row>
      <xdr:rowOff>36287</xdr:rowOff>
    </xdr:from>
    <xdr:to>
      <xdr:col>7</xdr:col>
      <xdr:colOff>1932215</xdr:colOff>
      <xdr:row>29</xdr:row>
      <xdr:rowOff>0</xdr:rowOff>
    </xdr:to>
    <xdr:sp macro="" textlink="">
      <xdr:nvSpPr>
        <xdr:cNvPr id="5" name="Parenthèses 4"/>
        <xdr:cNvSpPr/>
      </xdr:nvSpPr>
      <xdr:spPr>
        <a:xfrm>
          <a:off x="5588001" y="5479144"/>
          <a:ext cx="3320143" cy="1778000"/>
        </a:xfrm>
        <a:prstGeom prst="bracketPair">
          <a:avLst/>
        </a:prstGeom>
        <a:ln w="38100">
          <a:solidFill>
            <a:schemeClr val="accent1">
              <a:lumMod val="60000"/>
              <a:lumOff val="4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628650</xdr:colOff>
      <xdr:row>21</xdr:row>
      <xdr:rowOff>133350</xdr:rowOff>
    </xdr:from>
    <xdr:to>
      <xdr:col>10</xdr:col>
      <xdr:colOff>603250</xdr:colOff>
      <xdr:row>26</xdr:row>
      <xdr:rowOff>120650</xdr:rowOff>
    </xdr:to>
    <xdr:sp macro="[0]!Ajout_Inter_Historique" textlink="">
      <xdr:nvSpPr>
        <xdr:cNvPr id="3" name="Rectangle 2"/>
        <xdr:cNvSpPr/>
      </xdr:nvSpPr>
      <xdr:spPr>
        <a:xfrm>
          <a:off x="9620250" y="5207000"/>
          <a:ext cx="1498600" cy="10033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Imprimer</a:t>
          </a:r>
        </a:p>
        <a:p>
          <a:pPr algn="ctr"/>
          <a:r>
            <a:rPr lang="fr-FR" sz="1600"/>
            <a:t>et</a:t>
          </a:r>
        </a:p>
        <a:p>
          <a:pPr algn="ctr"/>
          <a:r>
            <a:rPr lang="fr-FR" sz="1600"/>
            <a:t>valider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87086</xdr:colOff>
      <xdr:row>8</xdr:row>
      <xdr:rowOff>7258</xdr:rowOff>
    </xdr:from>
    <xdr:to>
      <xdr:col>5</xdr:col>
      <xdr:colOff>254000</xdr:colOff>
      <xdr:row>9</xdr:row>
      <xdr:rowOff>7257</xdr:rowOff>
    </xdr:to>
    <xdr:sp macro="[0]!Ajout_Technicien" textlink="">
      <xdr:nvSpPr>
        <xdr:cNvPr id="2" name="Rectangle 1"/>
        <xdr:cNvSpPr/>
      </xdr:nvSpPr>
      <xdr:spPr>
        <a:xfrm>
          <a:off x="3421743" y="1654629"/>
          <a:ext cx="928914" cy="31205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Valider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chniciens" displayName="Techniciens" ref="A1:E5" totalsRowShown="0">
  <autoFilter ref="A1:E5"/>
  <tableColumns count="5">
    <tableColumn id="1" name="nom prénom" dataDxfId="12">
      <calculatedColumnFormula>Techniciens[[#This Row],[nom]]&amp;" "&amp;Techniciens[[#This Row],[prénom]]</calculatedColumnFormula>
    </tableColumn>
    <tableColumn id="2" name="nom"/>
    <tableColumn id="3" name="prénom"/>
    <tableColumn id="4" name="portable" dataDxfId="11"/>
    <tableColumn id="5" name="coût de revient/h" dataDxfId="10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1" name="Sites" displayName="Sites" ref="A1:F3" totalsRowShown="0" headerRowDxfId="9">
  <autoFilter ref="A1:F3"/>
  <tableColumns count="6">
    <tableColumn id="1" name="Site"/>
    <tableColumn id="2" name="nom du contact"/>
    <tableColumn id="3" name="tel du contact" dataDxfId="8"/>
    <tableColumn id="4" name="adresse"/>
    <tableColumn id="5" name="cp" dataDxfId="7"/>
    <tableColumn id="6" name="vill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1:K7" totalsRowShown="0" headerRowDxfId="6">
  <autoFilter ref="A1:K7"/>
  <tableColumns count="11">
    <tableColumn id="1" name="numéro inter"/>
    <tableColumn id="2" name="date édition" dataDxfId="5"/>
    <tableColumn id="3" name="site" dataDxfId="4"/>
    <tableColumn id="4" name="technicien"/>
    <tableColumn id="5" name="date inter" dataDxfId="3"/>
    <tableColumn id="6" name="niveaux"/>
    <tableColumn id="7" name="heure arrivée" dataDxfId="2"/>
    <tableColumn id="8" name="heure départ" dataDxfId="1"/>
    <tableColumn id="9" name="heures comptées"/>
    <tableColumn id="10" name="coût inter" dataDxfId="0"/>
    <tableColumn id="11" name="commentaire du tech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C26"/>
  <sheetViews>
    <sheetView showGridLines="0" topLeftCell="A16" zoomScale="160" zoomScaleNormal="160" workbookViewId="0">
      <selection activeCell="A9" sqref="A9"/>
    </sheetView>
  </sheetViews>
  <sheetFormatPr baseColWidth="10" defaultRowHeight="14.5" x14ac:dyDescent="0.35"/>
  <cols>
    <col min="1" max="1" width="78.1796875" customWidth="1"/>
    <col min="3" max="3" width="35.7265625" customWidth="1"/>
  </cols>
  <sheetData>
    <row r="2" spans="1:3" ht="18.5" x14ac:dyDescent="0.45">
      <c r="A2" s="38" t="s">
        <v>38</v>
      </c>
      <c r="C2" s="35" t="s">
        <v>65</v>
      </c>
    </row>
    <row r="3" spans="1:3" x14ac:dyDescent="0.35">
      <c r="C3" s="36"/>
    </row>
    <row r="4" spans="1:3" x14ac:dyDescent="0.35">
      <c r="A4" t="s">
        <v>53</v>
      </c>
      <c r="C4" s="36" t="s">
        <v>55</v>
      </c>
    </row>
    <row r="5" spans="1:3" x14ac:dyDescent="0.35">
      <c r="A5" s="32" t="s">
        <v>39</v>
      </c>
      <c r="C5" s="36" t="s">
        <v>56</v>
      </c>
    </row>
    <row r="6" spans="1:3" x14ac:dyDescent="0.35">
      <c r="A6" s="32" t="s">
        <v>40</v>
      </c>
      <c r="C6" s="36" t="s">
        <v>57</v>
      </c>
    </row>
    <row r="7" spans="1:3" x14ac:dyDescent="0.35">
      <c r="A7" s="32" t="s">
        <v>41</v>
      </c>
      <c r="C7" s="36" t="s">
        <v>58</v>
      </c>
    </row>
    <row r="8" spans="1:3" x14ac:dyDescent="0.35">
      <c r="A8" s="32" t="s">
        <v>42</v>
      </c>
      <c r="C8" s="36" t="s">
        <v>59</v>
      </c>
    </row>
    <row r="9" spans="1:3" x14ac:dyDescent="0.35">
      <c r="A9" s="32" t="s">
        <v>43</v>
      </c>
      <c r="C9" s="36" t="s">
        <v>60</v>
      </c>
    </row>
    <row r="10" spans="1:3" x14ac:dyDescent="0.35">
      <c r="A10" s="32" t="s">
        <v>44</v>
      </c>
      <c r="C10" s="36" t="s">
        <v>63</v>
      </c>
    </row>
    <row r="11" spans="1:3" x14ac:dyDescent="0.35">
      <c r="A11" s="33" t="s">
        <v>45</v>
      </c>
      <c r="C11" s="37" t="s">
        <v>64</v>
      </c>
    </row>
    <row r="12" spans="1:3" x14ac:dyDescent="0.35">
      <c r="A12" s="33" t="s">
        <v>46</v>
      </c>
    </row>
    <row r="13" spans="1:3" x14ac:dyDescent="0.35">
      <c r="A13" s="32" t="s">
        <v>47</v>
      </c>
    </row>
    <row r="14" spans="1:3" x14ac:dyDescent="0.35">
      <c r="A14" s="32" t="s">
        <v>61</v>
      </c>
    </row>
    <row r="15" spans="1:3" x14ac:dyDescent="0.35">
      <c r="A15" s="32" t="s">
        <v>62</v>
      </c>
    </row>
    <row r="17" spans="1:1" x14ac:dyDescent="0.35">
      <c r="A17" t="s">
        <v>51</v>
      </c>
    </row>
    <row r="18" spans="1:1" x14ac:dyDescent="0.35">
      <c r="A18" s="32" t="s">
        <v>48</v>
      </c>
    </row>
    <row r="19" spans="1:1" x14ac:dyDescent="0.35">
      <c r="A19" s="32" t="s">
        <v>49</v>
      </c>
    </row>
    <row r="20" spans="1:1" x14ac:dyDescent="0.35">
      <c r="A20" s="32" t="s">
        <v>50</v>
      </c>
    </row>
    <row r="22" spans="1:1" ht="29" x14ac:dyDescent="0.35">
      <c r="A22" s="34" t="s">
        <v>71</v>
      </c>
    </row>
    <row r="24" spans="1:1" x14ac:dyDescent="0.35">
      <c r="A24" t="s">
        <v>52</v>
      </c>
    </row>
    <row r="26" spans="1:1" ht="29" x14ac:dyDescent="0.35">
      <c r="A26" s="34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J81"/>
  <sheetViews>
    <sheetView showGridLines="0" tabSelected="1" topLeftCell="A13" zoomScaleNormal="100" workbookViewId="0">
      <selection activeCell="F14" sqref="F14"/>
    </sheetView>
  </sheetViews>
  <sheetFormatPr baseColWidth="10" defaultRowHeight="13.5" x14ac:dyDescent="0.25"/>
  <cols>
    <col min="1" max="1" width="7.453125" style="1" customWidth="1"/>
    <col min="2" max="2" width="17.1796875" style="1" customWidth="1"/>
    <col min="3" max="3" width="16.81640625" style="1" customWidth="1"/>
    <col min="4" max="4" width="13.1796875" style="1" customWidth="1"/>
    <col min="5" max="5" width="13.26953125" style="1" customWidth="1"/>
    <col min="6" max="6" width="14.7265625" style="1" customWidth="1"/>
    <col min="7" max="7" width="17.26953125" style="1" customWidth="1"/>
    <col min="8" max="8" width="28.81640625" style="1" customWidth="1"/>
    <col min="9" max="16384" width="10.90625" style="1"/>
  </cols>
  <sheetData>
    <row r="1" spans="1:10" ht="33.5" customHeight="1" thickBot="1" x14ac:dyDescent="0.3">
      <c r="A1" s="62" t="s">
        <v>0</v>
      </c>
      <c r="B1" s="63"/>
      <c r="C1" s="63"/>
      <c r="D1" s="63"/>
      <c r="E1" s="63"/>
      <c r="F1" s="63"/>
      <c r="G1" s="63"/>
      <c r="H1" s="63"/>
      <c r="I1" s="64"/>
    </row>
    <row r="2" spans="1:10" ht="16" x14ac:dyDescent="0.3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16.5" thickBot="1" x14ac:dyDescent="0.4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s="4" customFormat="1" ht="21.5" customHeight="1" x14ac:dyDescent="0.35">
      <c r="A4" s="3"/>
      <c r="B4" s="65" t="s">
        <v>1</v>
      </c>
      <c r="C4" s="66"/>
      <c r="D4" s="67"/>
      <c r="E4" s="3"/>
      <c r="F4" s="3"/>
      <c r="G4" s="65" t="s">
        <v>2</v>
      </c>
      <c r="H4" s="67"/>
      <c r="I4" s="3"/>
      <c r="J4" s="3"/>
    </row>
    <row r="5" spans="1:10" ht="16.5" thickBot="1" x14ac:dyDescent="0.4">
      <c r="A5" s="2"/>
      <c r="B5" s="5"/>
      <c r="C5" s="55"/>
      <c r="D5" s="55"/>
      <c r="E5" s="2"/>
      <c r="F5" s="2"/>
      <c r="G5" s="68">
        <f>COUNTA('historique inter'!A:A)</f>
        <v>7</v>
      </c>
      <c r="H5" s="69"/>
      <c r="I5" s="2"/>
      <c r="J5" s="2"/>
    </row>
    <row r="6" spans="1:10" ht="16.5" thickBot="1" x14ac:dyDescent="0.4">
      <c r="A6" s="2"/>
      <c r="B6" s="6" t="s">
        <v>3</v>
      </c>
      <c r="C6" s="60"/>
      <c r="D6" s="61"/>
      <c r="E6" s="2"/>
      <c r="F6" s="2"/>
      <c r="I6" s="2"/>
      <c r="J6" s="2"/>
    </row>
    <row r="7" spans="1:10" s="4" customFormat="1" ht="19" customHeight="1" x14ac:dyDescent="0.35">
      <c r="A7" s="3"/>
      <c r="B7" s="7"/>
      <c r="C7" s="73"/>
      <c r="D7" s="73"/>
      <c r="E7" s="3"/>
      <c r="F7" s="3"/>
      <c r="G7" s="65" t="s">
        <v>4</v>
      </c>
      <c r="H7" s="67"/>
      <c r="I7" s="3"/>
      <c r="J7" s="3"/>
    </row>
    <row r="8" spans="1:10" ht="16.5" thickBot="1" x14ac:dyDescent="0.4">
      <c r="A8" s="2"/>
      <c r="B8" s="6" t="s">
        <v>5</v>
      </c>
      <c r="C8" s="74" t="str">
        <f>IFERROR(VLOOKUP(C6,Sites[],2,FALSE),"")</f>
        <v/>
      </c>
      <c r="D8" s="75"/>
      <c r="E8" s="2"/>
      <c r="F8" s="2"/>
      <c r="G8" s="76">
        <f ca="1">TODAY()</f>
        <v>42591</v>
      </c>
      <c r="H8" s="77"/>
      <c r="I8" s="2"/>
      <c r="J8" s="2"/>
    </row>
    <row r="9" spans="1:10" ht="16.5" thickBot="1" x14ac:dyDescent="0.4">
      <c r="A9" s="2"/>
      <c r="B9" s="8"/>
      <c r="C9" s="78"/>
      <c r="D9" s="78"/>
      <c r="E9" s="2"/>
      <c r="F9" s="2"/>
      <c r="I9" s="2"/>
      <c r="J9" s="2"/>
    </row>
    <row r="10" spans="1:10" ht="21" customHeight="1" x14ac:dyDescent="0.35">
      <c r="A10" s="2"/>
      <c r="B10" s="6" t="s">
        <v>6</v>
      </c>
      <c r="C10" s="79" t="str">
        <f>IFERROR(VLOOKUP(C6,Sites[],3,FALSE),"")</f>
        <v/>
      </c>
      <c r="D10" s="80"/>
      <c r="E10" s="2"/>
      <c r="F10" s="2"/>
      <c r="G10" s="65" t="s">
        <v>7</v>
      </c>
      <c r="H10" s="67"/>
      <c r="I10" s="2"/>
      <c r="J10" s="2"/>
    </row>
    <row r="11" spans="1:10" ht="16" x14ac:dyDescent="0.35">
      <c r="A11" s="2"/>
      <c r="B11" s="8"/>
      <c r="C11" s="55"/>
      <c r="D11" s="55"/>
      <c r="E11" s="2"/>
      <c r="F11" s="2"/>
      <c r="G11" s="5"/>
      <c r="H11" s="9"/>
      <c r="I11" s="2"/>
      <c r="J11" s="2"/>
    </row>
    <row r="12" spans="1:10" ht="16" x14ac:dyDescent="0.35">
      <c r="A12" s="2"/>
      <c r="B12" s="6" t="s">
        <v>8</v>
      </c>
      <c r="C12" s="56" t="str">
        <f>IFERROR(VLOOKUP(C6,Sites[],4,FALSE),"")</f>
        <v/>
      </c>
      <c r="D12" s="56"/>
      <c r="E12" s="2"/>
      <c r="F12" s="2"/>
      <c r="G12" s="6" t="s">
        <v>9</v>
      </c>
      <c r="H12" s="50"/>
      <c r="I12" s="2"/>
      <c r="J12" s="2"/>
    </row>
    <row r="13" spans="1:10" ht="16" x14ac:dyDescent="0.35">
      <c r="A13" s="2"/>
      <c r="B13" s="5"/>
      <c r="C13" s="56" t="str">
        <f>IFERROR(VLOOKUP(C6,Sites[],5,FALSE)&amp;" "&amp;VLOOKUP(C6,Sites[],6,FALSE),"")</f>
        <v/>
      </c>
      <c r="D13" s="56"/>
      <c r="E13" s="2"/>
      <c r="F13" s="2"/>
      <c r="G13" s="8"/>
      <c r="H13" s="9"/>
      <c r="I13" s="2"/>
      <c r="J13" s="2"/>
    </row>
    <row r="14" spans="1:10" ht="16" x14ac:dyDescent="0.35">
      <c r="A14" s="2"/>
      <c r="B14" s="5"/>
      <c r="C14" s="55"/>
      <c r="D14" s="55"/>
      <c r="E14" s="2"/>
      <c r="F14" s="2"/>
      <c r="G14" s="6" t="s">
        <v>10</v>
      </c>
      <c r="H14" s="10" t="str">
        <f>IFERROR(VLOOKUP(H12,Techniciens[],4,FALSE),"")</f>
        <v/>
      </c>
      <c r="I14" s="2"/>
      <c r="J14" s="2"/>
    </row>
    <row r="15" spans="1:10" ht="16.5" thickBot="1" x14ac:dyDescent="0.4">
      <c r="A15" s="2"/>
      <c r="B15" s="11"/>
      <c r="C15" s="57"/>
      <c r="D15" s="58"/>
      <c r="E15" s="2"/>
      <c r="F15" s="2"/>
      <c r="G15" s="11"/>
      <c r="H15" s="12"/>
      <c r="I15" s="2"/>
      <c r="J15" s="2"/>
    </row>
    <row r="16" spans="1:10" ht="16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16.5" thickBot="1" x14ac:dyDescent="0.4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19.5" x14ac:dyDescent="0.35">
      <c r="A18" s="2"/>
      <c r="B18" s="70" t="s">
        <v>11</v>
      </c>
      <c r="C18" s="71"/>
      <c r="D18" s="71"/>
      <c r="E18" s="71"/>
      <c r="F18" s="71"/>
      <c r="G18" s="71"/>
      <c r="H18" s="72"/>
      <c r="I18" s="2"/>
      <c r="J18" s="2"/>
    </row>
    <row r="19" spans="1:10" ht="16" x14ac:dyDescent="0.35">
      <c r="A19" s="2"/>
      <c r="B19" s="5"/>
      <c r="C19" s="13"/>
      <c r="D19" s="13"/>
      <c r="E19" s="13"/>
      <c r="F19" s="13"/>
      <c r="G19" s="13"/>
      <c r="H19" s="9"/>
      <c r="I19" s="2"/>
      <c r="J19" s="2"/>
    </row>
    <row r="20" spans="1:10" s="18" customFormat="1" ht="32" x14ac:dyDescent="0.35">
      <c r="A20" s="14"/>
      <c r="B20" s="15" t="s">
        <v>12</v>
      </c>
      <c r="C20" s="16" t="s">
        <v>13</v>
      </c>
      <c r="D20" s="16" t="s">
        <v>14</v>
      </c>
      <c r="E20" s="16" t="s">
        <v>15</v>
      </c>
      <c r="F20" s="16" t="s">
        <v>16</v>
      </c>
      <c r="G20" s="16" t="s">
        <v>17</v>
      </c>
      <c r="H20" s="17" t="s">
        <v>18</v>
      </c>
      <c r="I20" s="14"/>
      <c r="J20" s="14"/>
    </row>
    <row r="21" spans="1:10" s="21" customFormat="1" ht="25.5" customHeight="1" thickBot="1" x14ac:dyDescent="0.4">
      <c r="A21" s="19"/>
      <c r="B21" s="51"/>
      <c r="C21" s="52"/>
      <c r="D21" s="53"/>
      <c r="E21" s="53"/>
      <c r="F21" s="42">
        <f>IF(ROUNDUP((E21-D21)*24,0)&lt;2,2,ROUNDUP((E21-D21)*24,0))</f>
        <v>2</v>
      </c>
      <c r="G21" s="20" t="str">
        <f>IFERROR(VLOOKUP(H12,Techniciens[],5,FALSE)*F21,"")</f>
        <v/>
      </c>
      <c r="H21" s="54"/>
      <c r="I21" s="19"/>
      <c r="J21" s="19"/>
    </row>
    <row r="22" spans="1:10" ht="16" x14ac:dyDescent="0.35">
      <c r="A22" s="2"/>
      <c r="C22" s="2"/>
      <c r="D22" s="2"/>
      <c r="E22" s="2"/>
      <c r="F22" s="2"/>
      <c r="G22" s="2"/>
      <c r="H22" s="2"/>
      <c r="I22" s="2"/>
      <c r="J22" s="2"/>
    </row>
    <row r="23" spans="1:10" ht="16" x14ac:dyDescent="0.35">
      <c r="A23" s="2"/>
      <c r="C23" s="2"/>
      <c r="D23" s="2"/>
      <c r="E23" s="2"/>
      <c r="F23" s="2"/>
      <c r="G23" s="2"/>
      <c r="H23" s="2"/>
      <c r="I23" s="2"/>
      <c r="J23" s="2"/>
    </row>
    <row r="24" spans="1:10" ht="16" x14ac:dyDescent="0.35">
      <c r="A24" s="2"/>
      <c r="D24" s="2"/>
      <c r="E24" s="2"/>
      <c r="F24" s="2"/>
      <c r="G24" s="2"/>
      <c r="H24" s="2"/>
      <c r="I24" s="2"/>
      <c r="J24" s="2"/>
    </row>
    <row r="25" spans="1:10" ht="16" x14ac:dyDescent="0.35">
      <c r="A25" s="2"/>
      <c r="C25" s="2"/>
      <c r="D25" s="2"/>
      <c r="E25" s="2"/>
      <c r="F25" s="2"/>
      <c r="G25" s="2"/>
      <c r="H25" s="2"/>
      <c r="I25" s="2"/>
      <c r="J25" s="2"/>
    </row>
    <row r="26" spans="1:10" ht="16" x14ac:dyDescent="0.35">
      <c r="A26" s="2"/>
      <c r="C26" s="2"/>
      <c r="D26" s="2"/>
      <c r="E26" s="2"/>
      <c r="F26" s="2"/>
      <c r="G26" s="2"/>
      <c r="H26" s="2"/>
      <c r="I26" s="2"/>
      <c r="J26" s="2"/>
    </row>
    <row r="27" spans="1:10" ht="16" x14ac:dyDescent="0.35">
      <c r="A27" s="2"/>
      <c r="C27" s="2"/>
      <c r="D27" s="2"/>
      <c r="E27" s="2"/>
      <c r="F27" s="2"/>
      <c r="G27" s="2"/>
      <c r="H27" s="2"/>
      <c r="I27" s="2"/>
      <c r="J27" s="2"/>
    </row>
    <row r="28" spans="1:10" ht="16" x14ac:dyDescent="0.35">
      <c r="A28" s="2"/>
      <c r="C28" s="2"/>
      <c r="D28" s="2"/>
      <c r="E28" s="2"/>
      <c r="F28" s="2"/>
      <c r="G28" s="2"/>
      <c r="H28" s="2"/>
      <c r="I28" s="2"/>
      <c r="J28" s="2"/>
    </row>
    <row r="29" spans="1:10" ht="16" x14ac:dyDescent="0.35">
      <c r="A29" s="2"/>
      <c r="B29" s="59" t="s">
        <v>7</v>
      </c>
      <c r="C29" s="59"/>
      <c r="D29" s="59"/>
      <c r="E29" s="2"/>
      <c r="F29" s="2"/>
      <c r="G29" s="59" t="s">
        <v>70</v>
      </c>
      <c r="H29" s="59"/>
      <c r="I29" s="2"/>
      <c r="J29" s="2"/>
    </row>
    <row r="30" spans="1:10" ht="16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ht="16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ht="16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ht="16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ht="16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ht="16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ht="16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ht="16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ht="16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6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6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ht="16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ht="16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ht="16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ht="16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ht="16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ht="16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ht="16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ht="16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t="16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t="16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t="16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t="16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t="16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t="16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t="16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ht="16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ht="16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ht="16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ht="16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ht="16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ht="16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ht="16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ht="16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ht="16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ht="16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ht="16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ht="16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ht="16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ht="16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ht="16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ht="16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ht="16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ht="16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ht="16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ht="16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ht="16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ht="16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ht="16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ht="16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ht="16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ht="16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</row>
  </sheetData>
  <mergeCells count="21">
    <mergeCell ref="G29:H29"/>
    <mergeCell ref="B29:D29"/>
    <mergeCell ref="C6:D6"/>
    <mergeCell ref="A1:I1"/>
    <mergeCell ref="B4:D4"/>
    <mergeCell ref="G4:H4"/>
    <mergeCell ref="C5:D5"/>
    <mergeCell ref="G5:H5"/>
    <mergeCell ref="B18:H18"/>
    <mergeCell ref="C7:D7"/>
    <mergeCell ref="G7:H7"/>
    <mergeCell ref="C8:D8"/>
    <mergeCell ref="G8:H8"/>
    <mergeCell ref="C9:D9"/>
    <mergeCell ref="C10:D10"/>
    <mergeCell ref="G10:H10"/>
    <mergeCell ref="C11:D11"/>
    <mergeCell ref="C12:D12"/>
    <mergeCell ref="C13:D13"/>
    <mergeCell ref="C14:D14"/>
    <mergeCell ref="C15:D15"/>
  </mergeCells>
  <conditionalFormatting sqref="B21:H21">
    <cfRule type="expression" dxfId="15" priority="1">
      <formula>$C$21="Rouge"</formula>
    </cfRule>
    <cfRule type="expression" dxfId="14" priority="2">
      <formula>$C$21="Orange"</formula>
    </cfRule>
    <cfRule type="expression" dxfId="13" priority="3">
      <formula>$C$21="Vert"</formula>
    </cfRule>
  </conditionalFormatting>
  <dataValidations count="2">
    <dataValidation type="date" operator="greaterThan" allowBlank="1" showInputMessage="1" showErrorMessage="1" errorTitle="Ereur" error="Ce n'est pas une date valide !!!" sqref="B21">
      <formula1>42370</formula1>
    </dataValidation>
    <dataValidation type="time" operator="greaterThan" allowBlank="1" showInputMessage="1" showErrorMessage="1" sqref="D21:E21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1"/>
  <headerFooter>
    <oddHeader>&amp;L&amp;"-,Italique"&amp;10Service maintenance&amp;R&amp;"-,Italique"&amp;10imprimé à &amp;T</oddHeader>
    <oddFooter>&amp;C&amp;"-,Italique"&amp;10&amp;P /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site!$A:$A</xm:f>
          </x14:formula1>
          <xm:sqref>C6:D6</xm:sqref>
        </x14:dataValidation>
        <x14:dataValidation type="list" allowBlank="1" showInputMessage="1" showErrorMessage="1">
          <x14:formula1>
            <xm:f>Niveaux!$A$2:$A$4</xm:f>
          </x14:formula1>
          <xm:sqref>C21</xm:sqref>
        </x14:dataValidation>
        <x14:dataValidation type="list" allowBlank="1" showInputMessage="1" showErrorMessage="1">
          <x14:formula1>
            <xm:f>technicien!$A:$A</xm:f>
          </x14:formula1>
          <xm:sqref>H12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10"/>
  <sheetViews>
    <sheetView topLeftCell="A4" zoomScale="175" zoomScaleNormal="175" workbookViewId="0">
      <selection activeCell="A2" sqref="A2"/>
    </sheetView>
  </sheetViews>
  <sheetFormatPr baseColWidth="10" defaultRowHeight="14.5" x14ac:dyDescent="0.35"/>
  <cols>
    <col min="3" max="3" width="15" customWidth="1"/>
  </cols>
  <sheetData>
    <row r="1" spans="1:4" ht="18.5" x14ac:dyDescent="0.45">
      <c r="A1" s="81" t="s">
        <v>36</v>
      </c>
      <c r="B1" s="81"/>
      <c r="C1" s="81"/>
      <c r="D1" s="81"/>
    </row>
    <row r="2" spans="1:4" ht="15" thickBot="1" x14ac:dyDescent="0.4"/>
    <row r="3" spans="1:4" s="28" customFormat="1" ht="24.5" customHeight="1" thickTop="1" thickBot="1" x14ac:dyDescent="0.4">
      <c r="B3" s="29" t="s">
        <v>19</v>
      </c>
      <c r="C3" s="27" t="s">
        <v>80</v>
      </c>
    </row>
    <row r="4" spans="1:4" ht="7.5" customHeight="1" thickTop="1" thickBot="1" x14ac:dyDescent="0.4">
      <c r="C4" s="26"/>
    </row>
    <row r="5" spans="1:4" s="28" customFormat="1" ht="24.5" customHeight="1" thickTop="1" thickBot="1" x14ac:dyDescent="0.4">
      <c r="B5" s="29" t="s">
        <v>20</v>
      </c>
      <c r="C5" s="27" t="s">
        <v>81</v>
      </c>
    </row>
    <row r="6" spans="1:4" ht="7.5" customHeight="1" thickTop="1" thickBot="1" x14ac:dyDescent="0.4">
      <c r="C6" s="26"/>
    </row>
    <row r="7" spans="1:4" s="28" customFormat="1" ht="24.5" customHeight="1" thickTop="1" thickBot="1" x14ac:dyDescent="0.4">
      <c r="B7" s="29" t="s">
        <v>21</v>
      </c>
      <c r="C7" s="30">
        <v>809070605</v>
      </c>
    </row>
    <row r="8" spans="1:4" ht="7.5" customHeight="1" thickTop="1" thickBot="1" x14ac:dyDescent="0.4">
      <c r="C8" s="26"/>
    </row>
    <row r="9" spans="1:4" s="28" customFormat="1" ht="24.5" customHeight="1" thickTop="1" thickBot="1" x14ac:dyDescent="0.4">
      <c r="B9" s="29" t="s">
        <v>37</v>
      </c>
      <c r="C9" s="31">
        <v>107</v>
      </c>
    </row>
    <row r="10" spans="1:4" ht="15" thickTop="1" x14ac:dyDescent="0.35"/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5"/>
  <sheetViews>
    <sheetView zoomScale="180" zoomScaleNormal="180" workbookViewId="0">
      <selection activeCell="E3" sqref="E3"/>
    </sheetView>
  </sheetViews>
  <sheetFormatPr baseColWidth="10" defaultRowHeight="14.5" x14ac:dyDescent="0.35"/>
  <cols>
    <col min="1" max="1" width="16" customWidth="1"/>
    <col min="4" max="4" width="12.6328125" bestFit="1" customWidth="1"/>
    <col min="5" max="5" width="17.6328125" style="22" bestFit="1" customWidth="1"/>
    <col min="6" max="6" width="15.36328125" style="25" customWidth="1"/>
  </cols>
  <sheetData>
    <row r="1" spans="1:6" x14ac:dyDescent="0.35">
      <c r="A1" t="s">
        <v>9</v>
      </c>
      <c r="B1" t="s">
        <v>19</v>
      </c>
      <c r="C1" t="s">
        <v>20</v>
      </c>
      <c r="D1" s="22" t="s">
        <v>21</v>
      </c>
      <c r="E1" s="25" t="s">
        <v>22</v>
      </c>
      <c r="F1"/>
    </row>
    <row r="2" spans="1:6" x14ac:dyDescent="0.35">
      <c r="A2" s="43" t="str">
        <f>Techniciens[[#This Row],[nom]]&amp;" "&amp;Techniciens[[#This Row],[prénom]]</f>
        <v>Smith Will</v>
      </c>
      <c r="B2" t="s">
        <v>80</v>
      </c>
      <c r="C2" t="s">
        <v>81</v>
      </c>
      <c r="D2" s="22">
        <v>809070605</v>
      </c>
      <c r="E2" s="25">
        <v>100</v>
      </c>
      <c r="F2"/>
    </row>
    <row r="3" spans="1:6" x14ac:dyDescent="0.35">
      <c r="A3" s="43" t="str">
        <f>Techniciens[[#This Row],[nom]]&amp;" "&amp;Techniciens[[#This Row],[prénom]]</f>
        <v>Jones Indiana</v>
      </c>
      <c r="B3" t="s">
        <v>78</v>
      </c>
      <c r="C3" t="s">
        <v>79</v>
      </c>
      <c r="D3" s="22">
        <v>102030405</v>
      </c>
      <c r="E3" s="25">
        <v>137</v>
      </c>
      <c r="F3"/>
    </row>
    <row r="4" spans="1:6" x14ac:dyDescent="0.35">
      <c r="A4" t="str">
        <f>Techniciens[[#This Row],[nom]]&amp;" "&amp;Techniciens[[#This Row],[prénom]]</f>
        <v>Ripley Ellen</v>
      </c>
      <c r="B4" t="s">
        <v>68</v>
      </c>
      <c r="C4" t="s">
        <v>69</v>
      </c>
      <c r="D4" s="22">
        <v>607080910</v>
      </c>
      <c r="E4" s="25">
        <v>145</v>
      </c>
    </row>
    <row r="5" spans="1:6" x14ac:dyDescent="0.35">
      <c r="A5" t="str">
        <f>Techniciens[[#This Row],[nom]]&amp;" "&amp;Techniciens[[#This Row],[prénom]]</f>
        <v>Corleone Vito</v>
      </c>
      <c r="B5" t="s">
        <v>66</v>
      </c>
      <c r="C5" t="s">
        <v>67</v>
      </c>
      <c r="D5" s="22">
        <v>605040302</v>
      </c>
      <c r="E5" s="25">
        <v>125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F3"/>
  <sheetViews>
    <sheetView zoomScale="190" zoomScaleNormal="190" workbookViewId="0">
      <selection activeCell="E3" sqref="E3"/>
    </sheetView>
  </sheetViews>
  <sheetFormatPr baseColWidth="10" defaultRowHeight="14.5" x14ac:dyDescent="0.35"/>
  <cols>
    <col min="2" max="2" width="16.453125" customWidth="1"/>
    <col min="3" max="3" width="13.81640625" style="22" customWidth="1"/>
    <col min="4" max="4" width="16.453125" bestFit="1" customWidth="1"/>
    <col min="5" max="5" width="10.90625" style="24"/>
  </cols>
  <sheetData>
    <row r="1" spans="1:6" s="26" customFormat="1" x14ac:dyDescent="0.35">
      <c r="A1" s="26" t="s">
        <v>23</v>
      </c>
      <c r="B1" s="26" t="s">
        <v>24</v>
      </c>
      <c r="C1" s="39" t="s">
        <v>25</v>
      </c>
      <c r="D1" s="26" t="s">
        <v>26</v>
      </c>
      <c r="E1" s="40" t="s">
        <v>27</v>
      </c>
      <c r="F1" s="26" t="s">
        <v>28</v>
      </c>
    </row>
    <row r="2" spans="1:6" x14ac:dyDescent="0.35">
      <c r="A2" t="s">
        <v>30</v>
      </c>
      <c r="B2" t="s">
        <v>31</v>
      </c>
      <c r="C2" s="22">
        <v>545625665</v>
      </c>
      <c r="D2" t="s">
        <v>32</v>
      </c>
      <c r="E2" s="24">
        <v>19100</v>
      </c>
      <c r="F2" t="s">
        <v>30</v>
      </c>
    </row>
    <row r="3" spans="1:6" x14ac:dyDescent="0.35">
      <c r="A3" t="s">
        <v>33</v>
      </c>
      <c r="B3" t="s">
        <v>34</v>
      </c>
      <c r="C3" s="22">
        <v>544332211</v>
      </c>
      <c r="D3" t="s">
        <v>35</v>
      </c>
      <c r="E3" s="24">
        <v>17000</v>
      </c>
      <c r="F3" t="s">
        <v>33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K7"/>
  <sheetViews>
    <sheetView topLeftCell="C1" zoomScale="140" zoomScaleNormal="140" workbookViewId="0">
      <selection activeCell="E3" sqref="E3"/>
    </sheetView>
  </sheetViews>
  <sheetFormatPr baseColWidth="10" defaultRowHeight="14.5" x14ac:dyDescent="0.35"/>
  <cols>
    <col min="1" max="1" width="12.7265625" customWidth="1"/>
    <col min="2" max="2" width="11.7265625" customWidth="1"/>
    <col min="3" max="3" width="12" customWidth="1"/>
    <col min="4" max="4" width="13.90625" bestFit="1" customWidth="1"/>
    <col min="5" max="5" width="10.6328125" bestFit="1" customWidth="1"/>
    <col min="6" max="6" width="8.26953125" customWidth="1"/>
    <col min="7" max="7" width="12.90625" customWidth="1"/>
    <col min="8" max="8" width="12.6328125" customWidth="1"/>
    <col min="9" max="9" width="15.90625" customWidth="1"/>
    <col min="10" max="10" width="9.90625" style="25" customWidth="1"/>
    <col min="11" max="11" width="19.453125" customWidth="1"/>
  </cols>
  <sheetData>
    <row r="1" spans="1:11" s="23" customFormat="1" x14ac:dyDescent="0.35">
      <c r="A1" s="23" t="s">
        <v>29</v>
      </c>
      <c r="B1" s="23" t="s">
        <v>4</v>
      </c>
      <c r="C1" s="23" t="s">
        <v>3</v>
      </c>
      <c r="D1" s="23" t="s">
        <v>7</v>
      </c>
      <c r="E1" s="23" t="s">
        <v>12</v>
      </c>
      <c r="F1" s="23" t="s">
        <v>13</v>
      </c>
      <c r="G1" s="41" t="s">
        <v>14</v>
      </c>
      <c r="H1" s="41" t="s">
        <v>15</v>
      </c>
      <c r="I1" s="41" t="s">
        <v>16</v>
      </c>
      <c r="J1" s="46" t="s">
        <v>17</v>
      </c>
      <c r="K1" s="41" t="s">
        <v>18</v>
      </c>
    </row>
    <row r="2" spans="1:11" x14ac:dyDescent="0.35">
      <c r="A2" s="23">
        <v>6</v>
      </c>
      <c r="B2" s="48">
        <v>42591</v>
      </c>
      <c r="C2" s="23" t="s">
        <v>30</v>
      </c>
      <c r="D2" s="23" t="s">
        <v>85</v>
      </c>
      <c r="E2" s="48">
        <v>42665</v>
      </c>
      <c r="F2" s="23" t="s">
        <v>75</v>
      </c>
      <c r="G2" s="49">
        <v>0.33333333333333331</v>
      </c>
      <c r="H2" s="49">
        <v>0.375</v>
      </c>
      <c r="I2" s="41">
        <v>2</v>
      </c>
      <c r="J2" s="46">
        <v>274</v>
      </c>
      <c r="K2" s="41" t="s">
        <v>88</v>
      </c>
    </row>
    <row r="3" spans="1:11" x14ac:dyDescent="0.35">
      <c r="A3" s="23">
        <v>6</v>
      </c>
      <c r="B3" s="48"/>
      <c r="C3" s="23" t="s">
        <v>30</v>
      </c>
      <c r="D3" s="23" t="s">
        <v>77</v>
      </c>
      <c r="E3" s="48">
        <v>42650</v>
      </c>
      <c r="F3" s="23" t="s">
        <v>75</v>
      </c>
      <c r="G3" s="49">
        <v>0.58333333333333337</v>
      </c>
      <c r="H3" s="49">
        <v>0.71875</v>
      </c>
      <c r="I3" s="41">
        <v>4</v>
      </c>
      <c r="J3" s="46">
        <v>500</v>
      </c>
      <c r="K3" s="41" t="s">
        <v>87</v>
      </c>
    </row>
    <row r="4" spans="1:11" x14ac:dyDescent="0.35">
      <c r="A4" s="23">
        <v>6</v>
      </c>
      <c r="B4" s="48"/>
      <c r="C4" s="23" t="s">
        <v>33</v>
      </c>
      <c r="D4" s="23" t="s">
        <v>85</v>
      </c>
      <c r="E4" s="48">
        <v>42635</v>
      </c>
      <c r="F4" s="23" t="s">
        <v>74</v>
      </c>
      <c r="G4" s="49">
        <v>0.34027777777777773</v>
      </c>
      <c r="H4" s="49">
        <v>0.61805555555555558</v>
      </c>
      <c r="I4" s="41">
        <v>7</v>
      </c>
      <c r="J4" s="46">
        <v>959</v>
      </c>
      <c r="K4" s="41" t="s">
        <v>86</v>
      </c>
    </row>
    <row r="5" spans="1:11" x14ac:dyDescent="0.35">
      <c r="A5" s="23">
        <v>6</v>
      </c>
      <c r="B5" s="48"/>
      <c r="C5" s="23" t="s">
        <v>30</v>
      </c>
      <c r="D5" s="23" t="s">
        <v>77</v>
      </c>
      <c r="E5" s="48">
        <v>42632</v>
      </c>
      <c r="F5" s="23" t="s">
        <v>76</v>
      </c>
      <c r="G5" s="49">
        <v>0.59375</v>
      </c>
      <c r="H5" s="49">
        <v>0.69791666666666663</v>
      </c>
      <c r="I5" s="41">
        <v>3</v>
      </c>
      <c r="J5" s="46">
        <v>375</v>
      </c>
      <c r="K5" s="41" t="s">
        <v>84</v>
      </c>
    </row>
    <row r="6" spans="1:11" x14ac:dyDescent="0.35">
      <c r="A6" s="23">
        <v>6</v>
      </c>
      <c r="B6" s="48"/>
      <c r="C6" s="23" t="s">
        <v>33</v>
      </c>
      <c r="D6" s="23" t="s">
        <v>72</v>
      </c>
      <c r="E6" s="48">
        <v>42617</v>
      </c>
      <c r="F6" s="23" t="s">
        <v>76</v>
      </c>
      <c r="G6" s="49">
        <v>0.40625</v>
      </c>
      <c r="H6" s="49">
        <v>0.70833333333333337</v>
      </c>
      <c r="I6" s="41">
        <v>8</v>
      </c>
      <c r="J6" s="46">
        <v>1160</v>
      </c>
      <c r="K6" s="41"/>
    </row>
    <row r="7" spans="1:11" x14ac:dyDescent="0.35">
      <c r="A7">
        <v>1</v>
      </c>
      <c r="B7" s="44">
        <v>42617</v>
      </c>
      <c r="C7" s="47" t="s">
        <v>33</v>
      </c>
      <c r="D7" t="s">
        <v>82</v>
      </c>
      <c r="E7" s="44">
        <v>42617</v>
      </c>
      <c r="F7" t="s">
        <v>83</v>
      </c>
      <c r="G7" s="45">
        <v>0.41666666666666669</v>
      </c>
      <c r="H7" s="45">
        <v>0.5625</v>
      </c>
      <c r="I7">
        <v>4</v>
      </c>
      <c r="J7" s="25">
        <v>400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4"/>
  <sheetViews>
    <sheetView zoomScale="250" zoomScaleNormal="250" workbookViewId="0">
      <selection activeCell="E3" sqref="E3"/>
    </sheetView>
  </sheetViews>
  <sheetFormatPr baseColWidth="10" defaultRowHeight="14.5" x14ac:dyDescent="0.35"/>
  <sheetData>
    <row r="1" spans="1:1" x14ac:dyDescent="0.35">
      <c r="A1" t="s">
        <v>73</v>
      </c>
    </row>
    <row r="2" spans="1:1" x14ac:dyDescent="0.35">
      <c r="A2" t="s">
        <v>76</v>
      </c>
    </row>
    <row r="3" spans="1:1" x14ac:dyDescent="0.35">
      <c r="A3" t="s">
        <v>75</v>
      </c>
    </row>
    <row r="4" spans="1:1" x14ac:dyDescent="0.35">
      <c r="A4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Énoncées</vt:lpstr>
      <vt:lpstr>fiche d'inter</vt:lpstr>
      <vt:lpstr>création tech</vt:lpstr>
      <vt:lpstr>technicien</vt:lpstr>
      <vt:lpstr>site</vt:lpstr>
      <vt:lpstr>historique inter</vt:lpstr>
      <vt:lpstr>Niveaux</vt:lpstr>
      <vt:lpstr>'fiche d''inter'!Zone_d_impression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F240-00</dc:creator>
  <cp:lastModifiedBy>Phil</cp:lastModifiedBy>
  <cp:lastPrinted>2016-08-09T10:40:21Z</cp:lastPrinted>
  <dcterms:created xsi:type="dcterms:W3CDTF">2016-06-02T06:45:13Z</dcterms:created>
  <dcterms:modified xsi:type="dcterms:W3CDTF">2016-08-09T10:49:21Z</dcterms:modified>
</cp:coreProperties>
</file>